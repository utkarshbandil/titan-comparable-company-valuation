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360" windowWidth="18820" windowHeight="7060"/>
  </bookViews>
  <sheets>
    <sheet name="Comps Val" sheetId="1" r:id="rId1"/>
    <sheet name="Data" sheetId="2" r:id="rId2"/>
  </sheets>
  <definedNames>
    <definedName name="_xlnm.Print_Area" localSheetId="0">'Comps Val'!$A$1:$Q$38</definedName>
  </definedNames>
  <calcPr calcId="125725"/>
</workbook>
</file>

<file path=xl/calcChain.xml><?xml version="1.0" encoding="utf-8"?>
<calcChain xmlns="http://schemas.openxmlformats.org/spreadsheetml/2006/main">
  <c r="I9" i="2"/>
  <c r="G12" i="1"/>
  <c r="O33" s="1"/>
  <c r="D13"/>
  <c r="E13"/>
  <c r="K13"/>
  <c r="L13"/>
  <c r="M13"/>
  <c r="M21"/>
  <c r="L21"/>
  <c r="K21"/>
  <c r="M20"/>
  <c r="L20"/>
  <c r="K20"/>
  <c r="M19"/>
  <c r="L19"/>
  <c r="K19"/>
  <c r="M18"/>
  <c r="L18"/>
  <c r="K18"/>
  <c r="M12"/>
  <c r="L12"/>
  <c r="K12"/>
  <c r="M17"/>
  <c r="L17"/>
  <c r="K17"/>
  <c r="M16"/>
  <c r="L16"/>
  <c r="K16"/>
  <c r="M15"/>
  <c r="L15"/>
  <c r="K15"/>
  <c r="M14"/>
  <c r="L14"/>
  <c r="K14"/>
  <c r="I13" i="2"/>
  <c r="G21" i="1" s="1"/>
  <c r="I12" i="2"/>
  <c r="G20" i="1" s="1"/>
  <c r="I11" i="2"/>
  <c r="I10"/>
  <c r="I8"/>
  <c r="G17" i="1" s="1"/>
  <c r="I7" i="2"/>
  <c r="G16" i="1" s="1"/>
  <c r="I6" i="2"/>
  <c r="G15" i="1" s="1"/>
  <c r="I5" i="2"/>
  <c r="G14" i="1" s="1"/>
  <c r="I4" i="2"/>
  <c r="G13" i="1" s="1"/>
  <c r="G19"/>
  <c r="G18"/>
  <c r="E21"/>
  <c r="E20"/>
  <c r="E19"/>
  <c r="E18"/>
  <c r="E12"/>
  <c r="E17"/>
  <c r="E16"/>
  <c r="E15"/>
  <c r="E14"/>
  <c r="D21"/>
  <c r="D20"/>
  <c r="D19"/>
  <c r="D18"/>
  <c r="D12"/>
  <c r="D17"/>
  <c r="D16"/>
  <c r="D15"/>
  <c r="D14"/>
  <c r="B21"/>
  <c r="B20"/>
  <c r="B19"/>
  <c r="B18"/>
  <c r="B12"/>
  <c r="B17"/>
  <c r="B16"/>
  <c r="B15"/>
  <c r="B14"/>
  <c r="B13"/>
  <c r="F13" i="2"/>
  <c r="J13" s="1"/>
  <c r="F12"/>
  <c r="J12" s="1"/>
  <c r="F11"/>
  <c r="J11" s="1"/>
  <c r="F10"/>
  <c r="J10" s="1"/>
  <c r="F9"/>
  <c r="J9" s="1"/>
  <c r="F8"/>
  <c r="J8" s="1"/>
  <c r="F7"/>
  <c r="J7" s="1"/>
  <c r="F6"/>
  <c r="J6" s="1"/>
  <c r="F5"/>
  <c r="J5" s="1"/>
  <c r="F4"/>
  <c r="J4" s="1"/>
  <c r="F13" i="1" l="1"/>
  <c r="F14"/>
  <c r="Q14" s="1"/>
  <c r="F12"/>
  <c r="F21"/>
  <c r="Q21" s="1"/>
  <c r="F16"/>
  <c r="F19"/>
  <c r="F15"/>
  <c r="F18"/>
  <c r="F17"/>
  <c r="F20"/>
  <c r="H14" l="1"/>
  <c r="P14" s="1"/>
  <c r="H16"/>
  <c r="Q16"/>
  <c r="H13"/>
  <c r="Q13"/>
  <c r="H20"/>
  <c r="Q20"/>
  <c r="H18"/>
  <c r="Q18"/>
  <c r="H19"/>
  <c r="Q19"/>
  <c r="H17"/>
  <c r="Q17"/>
  <c r="H15"/>
  <c r="Q15"/>
  <c r="H12"/>
  <c r="Q12"/>
  <c r="H21"/>
  <c r="O14" l="1"/>
  <c r="P12"/>
  <c r="O12"/>
  <c r="O18"/>
  <c r="P18"/>
  <c r="O17"/>
  <c r="P17"/>
  <c r="O13"/>
  <c r="P13"/>
  <c r="Q27"/>
  <c r="Q25"/>
  <c r="Q34" s="1"/>
  <c r="Q23"/>
  <c r="Q28"/>
  <c r="Q26"/>
  <c r="Q24"/>
  <c r="O21"/>
  <c r="P21"/>
  <c r="O15"/>
  <c r="P15"/>
  <c r="O19"/>
  <c r="P19"/>
  <c r="P20"/>
  <c r="O20"/>
  <c r="O16"/>
  <c r="P16"/>
  <c r="Q37" l="1"/>
  <c r="Q39" s="1"/>
  <c r="Q32"/>
  <c r="P27"/>
  <c r="P26"/>
  <c r="P24"/>
  <c r="P28"/>
  <c r="P25"/>
  <c r="P32" s="1"/>
  <c r="P34" s="1"/>
  <c r="P23"/>
  <c r="O25"/>
  <c r="O26"/>
  <c r="O23"/>
  <c r="O27"/>
  <c r="O28"/>
  <c r="O24"/>
  <c r="O34" l="1"/>
  <c r="O37" s="1"/>
  <c r="O39" s="1"/>
  <c r="O32"/>
  <c r="P39"/>
  <c r="P37"/>
</calcChain>
</file>

<file path=xl/sharedStrings.xml><?xml version="1.0" encoding="utf-8"?>
<sst xmlns="http://schemas.openxmlformats.org/spreadsheetml/2006/main" count="57" uniqueCount="52">
  <si>
    <t>Comparible Company Valuation</t>
  </si>
  <si>
    <t>The Finance guy</t>
  </si>
  <si>
    <t xml:space="preserve">Company </t>
  </si>
  <si>
    <t>Share Price</t>
  </si>
  <si>
    <t>Share Outstanding</t>
  </si>
  <si>
    <t>Equity Value</t>
  </si>
  <si>
    <t>Net Debt</t>
  </si>
  <si>
    <t>Enterprise Value</t>
  </si>
  <si>
    <t>Market Data</t>
  </si>
  <si>
    <t>Revenue</t>
  </si>
  <si>
    <t>EBIDTA</t>
  </si>
  <si>
    <t>Net Income</t>
  </si>
  <si>
    <t>Valuation</t>
  </si>
  <si>
    <t>Financials</t>
  </si>
  <si>
    <t>S.No.</t>
  </si>
  <si>
    <t>Name</t>
  </si>
  <si>
    <t>CMP Rs.</t>
  </si>
  <si>
    <t>No. Eq. Shares Cr.</t>
  </si>
  <si>
    <t>Debt Rs.Cr.</t>
  </si>
  <si>
    <t>Cash End Rs.Cr.</t>
  </si>
  <si>
    <t>Sales Rs.Cr.</t>
  </si>
  <si>
    <t>NP 12M Rs.Cr.</t>
  </si>
  <si>
    <t>EBIDT Ann Rs.Cr.</t>
  </si>
  <si>
    <t>Earnings Yield %</t>
  </si>
  <si>
    <t>Market Cap</t>
  </si>
  <si>
    <t>EV</t>
  </si>
  <si>
    <t>EV/ Revenue</t>
  </si>
  <si>
    <t>EV/ EBIDTA</t>
  </si>
  <si>
    <t>P/E</t>
  </si>
  <si>
    <t>Max</t>
  </si>
  <si>
    <t>75th Percentile</t>
  </si>
  <si>
    <t>MEDIAN</t>
  </si>
  <si>
    <t>Average</t>
  </si>
  <si>
    <t>25th Perentile</t>
  </si>
  <si>
    <t>Min</t>
  </si>
  <si>
    <t>Implied Enterprise Value</t>
  </si>
  <si>
    <t>Implied Market Value</t>
  </si>
  <si>
    <t>Share Oustanding</t>
  </si>
  <si>
    <t>Implied Market Value per Share</t>
  </si>
  <si>
    <t>Source: Screener.in</t>
  </si>
  <si>
    <t xml:space="preserve"> (Amount in crores)</t>
  </si>
  <si>
    <t>Titan Company</t>
  </si>
  <si>
    <t>Kalyan Jewellers</t>
  </si>
  <si>
    <t>Thangamayil Jew.</t>
  </si>
  <si>
    <t>P N Gadgil Jewe.</t>
  </si>
  <si>
    <t>PC Jeweller</t>
  </si>
  <si>
    <t>Bluestone Jewel</t>
  </si>
  <si>
    <t>Ethos</t>
  </si>
  <si>
    <t>Sky Gold &amp; Diam.</t>
  </si>
  <si>
    <t>Senco Gold</t>
  </si>
  <si>
    <t>Goldiam Intl.</t>
  </si>
  <si>
    <t>Titan Comparable Valuation</t>
  </si>
</sst>
</file>

<file path=xl/styles.xml><?xml version="1.0" encoding="utf-8"?>
<styleSheet xmlns="http://schemas.openxmlformats.org/spreadsheetml/2006/main">
  <numFmts count="2">
    <numFmt numFmtId="168" formatCode="0.0"/>
    <numFmt numFmtId="171" formatCode="0.0&quot;x&quot;"/>
  </numFmts>
  <fonts count="6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24"/>
      <color theme="0"/>
      <name val="Calibri"/>
      <family val="2"/>
    </font>
    <font>
      <i/>
      <sz val="11"/>
      <color theme="1"/>
      <name val="Calibri"/>
      <family val="2"/>
    </font>
    <font>
      <b/>
      <i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2" fillId="2" borderId="0" xfId="0" applyFont="1" applyFill="1" applyAlignment="1"/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right"/>
    </xf>
    <xf numFmtId="0" fontId="0" fillId="0" borderId="0" xfId="0" applyFill="1"/>
    <xf numFmtId="0" fontId="0" fillId="3" borderId="0" xfId="0" applyFill="1"/>
    <xf numFmtId="171" fontId="0" fillId="3" borderId="0" xfId="0" applyNumberFormat="1" applyFill="1" applyBorder="1" applyAlignment="1">
      <alignment horizontal="right"/>
    </xf>
    <xf numFmtId="0" fontId="1" fillId="3" borderId="0" xfId="0" applyFont="1" applyFill="1"/>
    <xf numFmtId="171" fontId="1" fillId="3" borderId="0" xfId="0" applyNumberFormat="1" applyFont="1" applyFill="1" applyBorder="1" applyAlignment="1">
      <alignment horizontal="right"/>
    </xf>
    <xf numFmtId="2" fontId="0" fillId="0" borderId="0" xfId="0" applyNumberFormat="1"/>
    <xf numFmtId="168" fontId="0" fillId="0" borderId="3" xfId="0" applyNumberFormat="1" applyBorder="1"/>
    <xf numFmtId="168" fontId="0" fillId="0" borderId="0" xfId="0" applyNumberFormat="1" applyBorder="1"/>
    <xf numFmtId="0" fontId="4" fillId="0" borderId="0" xfId="0" applyFont="1"/>
    <xf numFmtId="0" fontId="5" fillId="0" borderId="0" xfId="0" applyFont="1"/>
    <xf numFmtId="0" fontId="1" fillId="3" borderId="0" xfId="0" applyFont="1" applyFill="1" applyBorder="1" applyAlignment="1">
      <alignment horizontal="left"/>
    </xf>
    <xf numFmtId="1" fontId="1" fillId="3" borderId="0" xfId="0" applyNumberFormat="1" applyFont="1" applyFill="1" applyBorder="1" applyAlignment="1">
      <alignment horizontal="right"/>
    </xf>
    <xf numFmtId="2" fontId="1" fillId="3" borderId="0" xfId="0" applyNumberFormat="1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0" fontId="0" fillId="0" borderId="0" xfId="0" applyBorder="1" applyAlignment="1">
      <alignment horizontal="left"/>
    </xf>
    <xf numFmtId="1" fontId="0" fillId="0" borderId="0" xfId="0" applyNumberFormat="1" applyBorder="1" applyAlignment="1">
      <alignment horizontal="right"/>
    </xf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71" fontId="0" fillId="0" borderId="0" xfId="0" applyNumberFormat="1" applyBorder="1" applyAlignment="1">
      <alignment horizontal="right"/>
    </xf>
    <xf numFmtId="0" fontId="0" fillId="0" borderId="0" xfId="0" applyBorder="1"/>
    <xf numFmtId="1" fontId="0" fillId="0" borderId="0" xfId="0" applyNumberFormat="1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Q39"/>
  <sheetViews>
    <sheetView showGridLines="0" tabSelected="1" zoomScaleNormal="100" workbookViewId="0">
      <selection activeCell="G34" sqref="G34"/>
    </sheetView>
  </sheetViews>
  <sheetFormatPr defaultRowHeight="14.5"/>
  <cols>
    <col min="1" max="1" width="1.81640625" customWidth="1"/>
    <col min="2" max="2" width="20.08984375" customWidth="1"/>
    <col min="3" max="3" width="1.1796875" customWidth="1"/>
    <col min="4" max="4" width="10.1796875" customWidth="1"/>
    <col min="5" max="5" width="11.81640625" customWidth="1"/>
    <col min="6" max="6" width="12.81640625" customWidth="1"/>
    <col min="7" max="7" width="10.54296875" customWidth="1"/>
    <col min="8" max="8" width="12.81640625" customWidth="1"/>
    <col min="9" max="9" width="6.36328125" customWidth="1"/>
    <col min="10" max="10" width="1.81640625" customWidth="1"/>
    <col min="11" max="12" width="8.90625" customWidth="1"/>
    <col min="13" max="13" width="10.7265625" customWidth="1"/>
    <col min="14" max="14" width="1.81640625" customWidth="1"/>
    <col min="15" max="15" width="12.36328125" customWidth="1"/>
    <col min="16" max="16" width="11.90625" customWidth="1"/>
    <col min="17" max="17" width="11.54296875" bestFit="1" customWidth="1"/>
  </cols>
  <sheetData>
    <row r="1" spans="2:17" ht="21" customHeight="1"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ht="14.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4.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14.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6" spans="2:17">
      <c r="B6" s="21" t="s">
        <v>40</v>
      </c>
    </row>
    <row r="7" spans="2:17">
      <c r="B7" s="3" t="s">
        <v>0</v>
      </c>
      <c r="C7" s="3"/>
      <c r="D7" s="3"/>
      <c r="E7" s="2"/>
      <c r="F7" s="2"/>
      <c r="G7" s="2"/>
      <c r="H7" s="2"/>
      <c r="I7" s="2"/>
      <c r="J7" s="2"/>
      <c r="K7" s="2"/>
    </row>
    <row r="8" spans="2:17" ht="3.5" customHeight="1"/>
    <row r="9" spans="2:17">
      <c r="B9" s="6"/>
      <c r="C9" s="6"/>
      <c r="D9" s="5" t="s">
        <v>8</v>
      </c>
      <c r="E9" s="5"/>
      <c r="F9" s="5"/>
      <c r="G9" s="5"/>
      <c r="H9" s="5"/>
      <c r="I9" s="5"/>
      <c r="J9" s="4"/>
      <c r="K9" s="5" t="s">
        <v>13</v>
      </c>
      <c r="L9" s="5"/>
      <c r="M9" s="5"/>
      <c r="N9" s="4"/>
      <c r="O9" s="5" t="s">
        <v>12</v>
      </c>
      <c r="P9" s="5"/>
      <c r="Q9" s="5"/>
    </row>
    <row r="10" spans="2:17" ht="32.5" customHeight="1">
      <c r="B10" s="6" t="s">
        <v>2</v>
      </c>
      <c r="C10" s="6"/>
      <c r="D10" s="7" t="s">
        <v>3</v>
      </c>
      <c r="E10" s="7" t="s">
        <v>4</v>
      </c>
      <c r="F10" s="8" t="s">
        <v>5</v>
      </c>
      <c r="G10" s="8" t="s">
        <v>6</v>
      </c>
      <c r="H10" s="7" t="s">
        <v>7</v>
      </c>
      <c r="I10" s="8"/>
      <c r="J10" s="8"/>
      <c r="K10" s="8" t="s">
        <v>9</v>
      </c>
      <c r="L10" s="8" t="s">
        <v>10</v>
      </c>
      <c r="M10" s="8" t="s">
        <v>11</v>
      </c>
      <c r="N10" s="8"/>
      <c r="O10" s="7" t="s">
        <v>26</v>
      </c>
      <c r="P10" s="7" t="s">
        <v>27</v>
      </c>
      <c r="Q10" s="8" t="s">
        <v>28</v>
      </c>
    </row>
    <row r="11" spans="2:17" s="12" customFormat="1" ht="6" customHeight="1">
      <c r="B11" s="9"/>
      <c r="C11" s="9"/>
      <c r="D11" s="10"/>
      <c r="E11" s="10"/>
      <c r="F11" s="11"/>
      <c r="G11" s="11"/>
      <c r="H11" s="10"/>
      <c r="I11" s="11"/>
      <c r="J11" s="11"/>
      <c r="K11" s="11"/>
      <c r="L11" s="11"/>
      <c r="M11" s="11"/>
      <c r="N11" s="11"/>
      <c r="O11" s="11"/>
      <c r="P11" s="11"/>
      <c r="Q11" s="11"/>
    </row>
    <row r="12" spans="2:17">
      <c r="B12" s="22" t="str">
        <f>Data!C9</f>
        <v>Titan Company</v>
      </c>
      <c r="C12" s="22"/>
      <c r="D12" s="23">
        <f>Data!D9</f>
        <v>4244.6000000000004</v>
      </c>
      <c r="E12" s="24">
        <f>Data!E9</f>
        <v>88.78</v>
      </c>
      <c r="F12" s="23">
        <f>D12*E12</f>
        <v>376835.58800000005</v>
      </c>
      <c r="G12" s="23">
        <f>Data!I9</f>
        <v>10881</v>
      </c>
      <c r="H12" s="23">
        <f>F12+G12</f>
        <v>387716.58800000005</v>
      </c>
      <c r="I12" s="23"/>
      <c r="J12" s="23"/>
      <c r="K12" s="23">
        <f>Data!K9</f>
        <v>75580</v>
      </c>
      <c r="L12" s="23">
        <f>Data!L9</f>
        <v>4766</v>
      </c>
      <c r="M12" s="23">
        <f>Data!M9</f>
        <v>6180</v>
      </c>
      <c r="N12" s="25"/>
      <c r="O12" s="16">
        <f>$H12/K12</f>
        <v>5.1298834083090767</v>
      </c>
      <c r="P12" s="16">
        <f>$H12/L12</f>
        <v>81.350522031053302</v>
      </c>
      <c r="Q12" s="16">
        <f>F12/M12</f>
        <v>60.976632362459554</v>
      </c>
    </row>
    <row r="13" spans="2:17">
      <c r="B13" s="26" t="str">
        <f>Data!C4</f>
        <v>Kalyan Jewellers</v>
      </c>
      <c r="C13" s="26"/>
      <c r="D13" s="27">
        <f>Data!D4</f>
        <v>395.55</v>
      </c>
      <c r="E13" s="28">
        <f>Data!E4</f>
        <v>103.27</v>
      </c>
      <c r="F13" s="27">
        <f>D13*E13</f>
        <v>40848.448499999999</v>
      </c>
      <c r="G13" s="27">
        <f>Data!I4</f>
        <v>4303.8900000000003</v>
      </c>
      <c r="H13" s="27">
        <f>F13+G13</f>
        <v>45152.338499999998</v>
      </c>
      <c r="I13" s="27"/>
      <c r="J13" s="27"/>
      <c r="K13" s="27">
        <f>Data!K4</f>
        <v>31649.46</v>
      </c>
      <c r="L13" s="27">
        <f>Data!L4</f>
        <v>1128.5</v>
      </c>
      <c r="M13" s="27">
        <f>Data!M4</f>
        <v>1728.24</v>
      </c>
      <c r="N13" s="29"/>
      <c r="O13" s="30">
        <f t="shared" ref="O13:O21" si="0">$H13/K13</f>
        <v>1.4266385113679665</v>
      </c>
      <c r="P13" s="30">
        <f t="shared" ref="P13:P21" si="1">$H13/L13</f>
        <v>40.010933540097476</v>
      </c>
      <c r="Q13" s="30">
        <f t="shared" ref="Q13:Q21" si="2">F13/M13</f>
        <v>23.635865678378003</v>
      </c>
    </row>
    <row r="14" spans="2:17">
      <c r="B14" s="26" t="str">
        <f>Data!C5</f>
        <v>Thangamayil Jew.</v>
      </c>
      <c r="C14" s="26"/>
      <c r="D14" s="27">
        <f>Data!D5</f>
        <v>3695.2</v>
      </c>
      <c r="E14" s="28">
        <f>Data!E5</f>
        <v>3.11</v>
      </c>
      <c r="F14" s="27">
        <f t="shared" ref="F14:F21" si="3">D14*E14</f>
        <v>11492.071999999998</v>
      </c>
      <c r="G14" s="27">
        <f>Data!I5</f>
        <v>882.56</v>
      </c>
      <c r="H14" s="27">
        <f t="shared" ref="H14:H21" si="4">F14+G14</f>
        <v>12374.631999999998</v>
      </c>
      <c r="I14" s="27"/>
      <c r="J14" s="27"/>
      <c r="K14" s="27">
        <f>Data!K5</f>
        <v>7055.32</v>
      </c>
      <c r="L14" s="27">
        <f>Data!L5</f>
        <v>240.4</v>
      </c>
      <c r="M14" s="27">
        <f>Data!M5</f>
        <v>224.68</v>
      </c>
      <c r="N14" s="29"/>
      <c r="O14" s="30">
        <f t="shared" si="0"/>
        <v>1.7539434072444622</v>
      </c>
      <c r="P14" s="30">
        <f t="shared" si="1"/>
        <v>51.475174708818628</v>
      </c>
      <c r="Q14" s="30">
        <f t="shared" si="2"/>
        <v>51.148620259925217</v>
      </c>
    </row>
    <row r="15" spans="2:17">
      <c r="B15" s="26" t="str">
        <f>Data!C6</f>
        <v>P N Gadgil Jewe.</v>
      </c>
      <c r="C15" s="26"/>
      <c r="D15" s="27">
        <f>Data!D6</f>
        <v>540.15</v>
      </c>
      <c r="E15" s="28">
        <f>Data!E6</f>
        <v>13.57</v>
      </c>
      <c r="F15" s="27">
        <f t="shared" si="3"/>
        <v>7329.8355000000001</v>
      </c>
      <c r="G15" s="27">
        <f>Data!I6</f>
        <v>762.44</v>
      </c>
      <c r="H15" s="27">
        <f t="shared" si="4"/>
        <v>8092.2754999999997</v>
      </c>
      <c r="I15" s="27"/>
      <c r="J15" s="27"/>
      <c r="K15" s="27">
        <f>Data!K6</f>
        <v>8783.01</v>
      </c>
      <c r="L15" s="27">
        <f>Data!L6</f>
        <v>381.55</v>
      </c>
      <c r="M15" s="27">
        <f>Data!M6</f>
        <v>371.93</v>
      </c>
      <c r="N15" s="29"/>
      <c r="O15" s="30">
        <f t="shared" si="0"/>
        <v>0.92135560587998866</v>
      </c>
      <c r="P15" s="30">
        <f t="shared" si="1"/>
        <v>21.20895164460752</v>
      </c>
      <c r="Q15" s="30">
        <f t="shared" si="2"/>
        <v>19.707567284166377</v>
      </c>
    </row>
    <row r="16" spans="2:17">
      <c r="B16" s="26" t="str">
        <f>Data!C7</f>
        <v>PC Jeweller</v>
      </c>
      <c r="C16" s="26"/>
      <c r="D16" s="27">
        <f>Data!D7</f>
        <v>9.0399999999999991</v>
      </c>
      <c r="E16" s="28">
        <f>Data!E7</f>
        <v>801.68</v>
      </c>
      <c r="F16" s="27">
        <f t="shared" si="3"/>
        <v>7247.1871999999985</v>
      </c>
      <c r="G16" s="27">
        <f>Data!I7</f>
        <v>1530.71</v>
      </c>
      <c r="H16" s="27">
        <f t="shared" si="4"/>
        <v>8777.8971999999994</v>
      </c>
      <c r="I16" s="27"/>
      <c r="J16" s="27"/>
      <c r="K16" s="27">
        <f>Data!K7</f>
        <v>3124.56</v>
      </c>
      <c r="L16" s="27">
        <f>Data!L7</f>
        <v>656.35</v>
      </c>
      <c r="M16" s="27">
        <f>Data!M7</f>
        <v>523.35</v>
      </c>
      <c r="N16" s="29"/>
      <c r="O16" s="30">
        <f t="shared" si="0"/>
        <v>2.8093226566300533</v>
      </c>
      <c r="P16" s="30">
        <f t="shared" si="1"/>
        <v>13.373805439171173</v>
      </c>
      <c r="Q16" s="30">
        <f t="shared" si="2"/>
        <v>13.847687398490491</v>
      </c>
    </row>
    <row r="17" spans="2:17">
      <c r="B17" s="26" t="str">
        <f>Data!C8</f>
        <v>Bluestone Jewel</v>
      </c>
      <c r="C17" s="26"/>
      <c r="D17" s="27">
        <f>Data!D8</f>
        <v>457.15</v>
      </c>
      <c r="E17" s="28">
        <f>Data!E8</f>
        <v>15.18</v>
      </c>
      <c r="F17" s="27">
        <f t="shared" si="3"/>
        <v>6939.5369999999994</v>
      </c>
      <c r="G17" s="27">
        <f>Data!I8</f>
        <v>1712.1</v>
      </c>
      <c r="H17" s="27">
        <f t="shared" si="4"/>
        <v>8651.6369999999988</v>
      </c>
      <c r="I17" s="27"/>
      <c r="J17" s="27"/>
      <c r="K17" s="27">
        <f>Data!K8</f>
        <v>2214.87</v>
      </c>
      <c r="L17" s="27">
        <f>Data!L8</f>
        <v>-59.08</v>
      </c>
      <c r="M17" s="27">
        <f>Data!M8</f>
        <v>134.4</v>
      </c>
      <c r="N17" s="29"/>
      <c r="O17" s="30">
        <f t="shared" si="0"/>
        <v>3.9061601809587017</v>
      </c>
      <c r="P17" s="30">
        <f t="shared" si="1"/>
        <v>-146.43935341909273</v>
      </c>
      <c r="Q17" s="30">
        <f t="shared" si="2"/>
        <v>51.633459821428566</v>
      </c>
    </row>
    <row r="18" spans="2:17">
      <c r="B18" s="26" t="str">
        <f>Data!C10</f>
        <v>Ethos</v>
      </c>
      <c r="C18" s="26"/>
      <c r="D18" s="27">
        <f>Data!D10</f>
        <v>2271.6999999999998</v>
      </c>
      <c r="E18" s="28">
        <f>Data!E10</f>
        <v>2.68</v>
      </c>
      <c r="F18" s="27">
        <f t="shared" si="3"/>
        <v>6088.1559999999999</v>
      </c>
      <c r="G18" s="27">
        <f>Data!I10</f>
        <v>93.819999999999965</v>
      </c>
      <c r="H18" s="27">
        <f t="shared" si="4"/>
        <v>6181.9759999999997</v>
      </c>
      <c r="I18" s="27"/>
      <c r="J18" s="27"/>
      <c r="K18" s="27">
        <f>Data!K10</f>
        <v>1509.55</v>
      </c>
      <c r="L18" s="27">
        <f>Data!L10</f>
        <v>96.13</v>
      </c>
      <c r="M18" s="27">
        <f>Data!M10</f>
        <v>221.09</v>
      </c>
      <c r="N18" s="29"/>
      <c r="O18" s="30">
        <f t="shared" si="0"/>
        <v>4.0952442780961213</v>
      </c>
      <c r="P18" s="30">
        <f t="shared" si="1"/>
        <v>64.308498907729117</v>
      </c>
      <c r="Q18" s="30">
        <f t="shared" si="2"/>
        <v>27.53700303044009</v>
      </c>
    </row>
    <row r="19" spans="2:17">
      <c r="B19" s="26" t="str">
        <f>Data!C11</f>
        <v>Sky Gold &amp; Diam.</v>
      </c>
      <c r="C19" s="26"/>
      <c r="D19" s="27">
        <f>Data!D11</f>
        <v>338.85</v>
      </c>
      <c r="E19" s="28">
        <f>Data!E11</f>
        <v>15.49</v>
      </c>
      <c r="F19" s="27">
        <f t="shared" si="3"/>
        <v>5248.7865000000002</v>
      </c>
      <c r="G19" s="27">
        <f>Data!I11</f>
        <v>638.59</v>
      </c>
      <c r="H19" s="27">
        <f t="shared" si="4"/>
        <v>5887.3765000000003</v>
      </c>
      <c r="I19" s="27"/>
      <c r="J19" s="27"/>
      <c r="K19" s="27">
        <f>Data!K11</f>
        <v>5441.55</v>
      </c>
      <c r="L19" s="27">
        <f>Data!L11</f>
        <v>229.29</v>
      </c>
      <c r="M19" s="27">
        <f>Data!M11</f>
        <v>211.03</v>
      </c>
      <c r="N19" s="29"/>
      <c r="O19" s="30">
        <f t="shared" si="0"/>
        <v>1.0819300566934054</v>
      </c>
      <c r="P19" s="30">
        <f t="shared" si="1"/>
        <v>25.676551528631865</v>
      </c>
      <c r="Q19" s="30">
        <f t="shared" si="2"/>
        <v>24.872229066957306</v>
      </c>
    </row>
    <row r="20" spans="2:17">
      <c r="B20" s="26" t="str">
        <f>Data!C12</f>
        <v>Senco Gold</v>
      </c>
      <c r="C20" s="26"/>
      <c r="D20" s="27">
        <f>Data!D12</f>
        <v>301.8</v>
      </c>
      <c r="E20" s="28">
        <f>Data!E12</f>
        <v>16.37</v>
      </c>
      <c r="F20" s="27">
        <f t="shared" si="3"/>
        <v>4940.4660000000003</v>
      </c>
      <c r="G20" s="27">
        <f>Data!I12</f>
        <v>1823.8</v>
      </c>
      <c r="H20" s="27">
        <f t="shared" si="4"/>
        <v>6764.2660000000005</v>
      </c>
      <c r="I20" s="27"/>
      <c r="J20" s="27"/>
      <c r="K20" s="27">
        <f>Data!K12</f>
        <v>7773.13</v>
      </c>
      <c r="L20" s="27">
        <f>Data!L12</f>
        <v>485.09</v>
      </c>
      <c r="M20" s="27">
        <f>Data!M12</f>
        <v>438.04</v>
      </c>
      <c r="N20" s="29"/>
      <c r="O20" s="30">
        <f t="shared" si="0"/>
        <v>0.87021135630048652</v>
      </c>
      <c r="P20" s="30">
        <f t="shared" si="1"/>
        <v>13.944352594363934</v>
      </c>
      <c r="Q20" s="30">
        <f t="shared" si="2"/>
        <v>11.278572733083736</v>
      </c>
    </row>
    <row r="21" spans="2:17">
      <c r="B21" s="26" t="str">
        <f>Data!C13</f>
        <v>Goldiam Intl.</v>
      </c>
      <c r="C21" s="26"/>
      <c r="D21" s="27">
        <f>Data!D13</f>
        <v>323.05</v>
      </c>
      <c r="E21" s="28">
        <f>Data!E13</f>
        <v>11.29</v>
      </c>
      <c r="F21" s="27">
        <f t="shared" si="3"/>
        <v>3647.2345</v>
      </c>
      <c r="G21" s="27">
        <f>Data!I13</f>
        <v>-157.84</v>
      </c>
      <c r="H21" s="27">
        <f t="shared" si="4"/>
        <v>3489.3944999999999</v>
      </c>
      <c r="I21" s="27"/>
      <c r="J21" s="27"/>
      <c r="K21" s="27">
        <f>Data!K13</f>
        <v>940.82</v>
      </c>
      <c r="L21" s="27">
        <f>Data!L13</f>
        <v>156.54</v>
      </c>
      <c r="M21" s="27">
        <f>Data!M13</f>
        <v>179.96</v>
      </c>
      <c r="N21" s="31"/>
      <c r="O21" s="30">
        <f t="shared" si="0"/>
        <v>3.7088863969728529</v>
      </c>
      <c r="P21" s="30">
        <f t="shared" si="1"/>
        <v>22.290753162131086</v>
      </c>
      <c r="Q21" s="30">
        <f t="shared" si="2"/>
        <v>20.266917648366302</v>
      </c>
    </row>
    <row r="22" spans="2:17" ht="5.5" customHeight="1"/>
    <row r="23" spans="2:17">
      <c r="B23" s="13" t="s">
        <v>29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>
        <f>MAX(O12:O21)</f>
        <v>5.1298834083090767</v>
      </c>
      <c r="P23" s="14">
        <f t="shared" ref="P23:Q23" si="5">MAX(P12:P21)</f>
        <v>81.350522031053302</v>
      </c>
      <c r="Q23" s="14">
        <f t="shared" si="5"/>
        <v>60.976632362459554</v>
      </c>
    </row>
    <row r="24" spans="2:17">
      <c r="B24" s="13" t="s">
        <v>30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>
        <f>QUARTILE(O12:O21,3)</f>
        <v>3.8568417349622397</v>
      </c>
      <c r="P24" s="14">
        <f t="shared" ref="P24:Q24" si="6">QUARTILE(P12:P21,3)</f>
        <v>48.609114416638342</v>
      </c>
      <c r="Q24" s="14">
        <f t="shared" si="6"/>
        <v>45.245715952553937</v>
      </c>
    </row>
    <row r="25" spans="2:17">
      <c r="B25" s="15" t="s">
        <v>31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f>MEDIAN(O12:O21)</f>
        <v>2.2816330319372575</v>
      </c>
      <c r="P25" s="16">
        <f t="shared" ref="P25:Q25" si="7">MEDIAN(P12:P21)</f>
        <v>23.983652345381476</v>
      </c>
      <c r="Q25" s="16">
        <f t="shared" si="7"/>
        <v>24.254047372667657</v>
      </c>
    </row>
    <row r="26" spans="2:17">
      <c r="B26" s="15" t="s">
        <v>32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f>AVERAGE(O12:O21)</f>
        <v>2.5703575858453118</v>
      </c>
      <c r="P26" s="16">
        <f t="shared" ref="P26:Q26" si="8">AVERAGE(P12:P21)</f>
        <v>18.720019013751138</v>
      </c>
      <c r="Q26" s="16">
        <f t="shared" si="8"/>
        <v>30.490455528369562</v>
      </c>
    </row>
    <row r="27" spans="2:17">
      <c r="B27" s="13" t="s">
        <v>33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>
        <f>QUARTILE(O12:O21,1)</f>
        <v>1.1681071703620456</v>
      </c>
      <c r="P27" s="14">
        <f t="shared" ref="P27:Q27" si="9">QUARTILE(P12:P21,1)</f>
        <v>15.760502356924832</v>
      </c>
      <c r="Q27" s="14">
        <f t="shared" si="9"/>
        <v>19.847404875216359</v>
      </c>
    </row>
    <row r="28" spans="2:17">
      <c r="B28" s="13" t="s">
        <v>34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>
        <f>MIN(O12:O21)</f>
        <v>0.87021135630048652</v>
      </c>
      <c r="P28" s="14">
        <f t="shared" ref="P28:Q28" si="10">MIN(P12:P21)</f>
        <v>-146.43935341909273</v>
      </c>
      <c r="Q28" s="14">
        <f t="shared" si="10"/>
        <v>11.278572733083736</v>
      </c>
    </row>
    <row r="30" spans="2:17">
      <c r="B30" s="6" t="s">
        <v>51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 t="s">
        <v>26</v>
      </c>
      <c r="P30" s="8" t="s">
        <v>27</v>
      </c>
      <c r="Q30" s="8" t="s">
        <v>28</v>
      </c>
    </row>
    <row r="31" spans="2:17" ht="6" customHeight="1"/>
    <row r="32" spans="2:17">
      <c r="B32" s="31" t="s">
        <v>35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2">
        <f>O$25*K12</f>
        <v>172445.82455381792</v>
      </c>
      <c r="P32" s="32">
        <f>P$25*L12</f>
        <v>114306.08707808811</v>
      </c>
      <c r="Q32" s="32">
        <f>Q33+Q34</f>
        <v>149557.54276308612</v>
      </c>
    </row>
    <row r="33" spans="2:17">
      <c r="B33" s="31" t="s">
        <v>6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2">
        <f>G12</f>
        <v>10881</v>
      </c>
      <c r="P33" s="32">
        <v>-332.47</v>
      </c>
      <c r="Q33" s="32">
        <v>-332.47</v>
      </c>
    </row>
    <row r="34" spans="2:17">
      <c r="B34" s="31" t="s">
        <v>36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2">
        <f>O32-O33</f>
        <v>161564.82455381792</v>
      </c>
      <c r="P34" s="32">
        <f t="shared" ref="P34" si="11">P32-P33</f>
        <v>114638.55707808811</v>
      </c>
      <c r="Q34" s="32">
        <f>Q25*M12</f>
        <v>149890.01276308612</v>
      </c>
    </row>
    <row r="35" spans="2:17">
      <c r="B35" s="31" t="s">
        <v>37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3">
        <v>80.78</v>
      </c>
      <c r="P35" s="31">
        <v>80.78</v>
      </c>
      <c r="Q35" s="31">
        <v>80.78</v>
      </c>
    </row>
    <row r="36" spans="2:17" ht="6" customHeight="1">
      <c r="O36" s="17"/>
    </row>
    <row r="37" spans="2:17">
      <c r="B37" s="18" t="s">
        <v>38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>
        <f>O34/O35</f>
        <v>2000.059724607798</v>
      </c>
      <c r="P37" s="18">
        <f>P34/P35</f>
        <v>1419.1452968319895</v>
      </c>
      <c r="Q37" s="18">
        <f t="shared" ref="P37:Q37" si="12">Q34/Q35</f>
        <v>1855.5337059059932</v>
      </c>
    </row>
    <row r="38" spans="2:17" ht="6" customHeight="1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2:17">
      <c r="B39" s="20" t="s">
        <v>39</v>
      </c>
      <c r="O39" t="str">
        <f>IF(O37&gt;$D$12,"Undervalued","Overvalued")</f>
        <v>Overvalued</v>
      </c>
      <c r="P39" t="str">
        <f>IF(P37&gt;$D$12,"Undervalued","Overvalued")</f>
        <v>Overvalued</v>
      </c>
      <c r="Q39" t="str">
        <f>IF(Q37&gt;$D$12,"Undervalued","Overvalued")</f>
        <v>Overvalued</v>
      </c>
    </row>
  </sheetData>
  <mergeCells count="4">
    <mergeCell ref="O9:Q9"/>
    <mergeCell ref="B1:Q4"/>
    <mergeCell ref="D9:I9"/>
    <mergeCell ref="K9:M9"/>
  </mergeCells>
  <pageMargins left="0.25" right="0.25" top="0.75" bottom="0.75" header="0.3" footer="0.3"/>
  <pageSetup paperSize="9" scale="9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N13"/>
  <sheetViews>
    <sheetView topLeftCell="A13" workbookViewId="0">
      <selection activeCell="B24" sqref="B24:N51"/>
    </sheetView>
  </sheetViews>
  <sheetFormatPr defaultRowHeight="14.5"/>
  <cols>
    <col min="2" max="2" width="5.7265625" customWidth="1"/>
    <col min="3" max="3" width="16.7265625" bestFit="1" customWidth="1"/>
    <col min="5" max="5" width="15.7265625" bestFit="1" customWidth="1"/>
    <col min="6" max="6" width="14.453125" customWidth="1"/>
    <col min="7" max="7" width="10.08984375" bestFit="1" customWidth="1"/>
    <col min="8" max="8" width="13.81640625" bestFit="1" customWidth="1"/>
    <col min="9" max="9" width="13.81640625" customWidth="1"/>
    <col min="10" max="10" width="13.81640625" bestFit="1" customWidth="1"/>
    <col min="11" max="11" width="10.26953125" bestFit="1" customWidth="1"/>
    <col min="12" max="12" width="12.54296875" bestFit="1" customWidth="1"/>
    <col min="13" max="13" width="14.90625" bestFit="1" customWidth="1"/>
    <col min="14" max="14" width="14.36328125" bestFit="1" customWidth="1"/>
    <col min="15" max="15" width="13.7265625" bestFit="1" customWidth="1"/>
  </cols>
  <sheetData>
    <row r="3" spans="2:14">
      <c r="B3" t="s">
        <v>14</v>
      </c>
      <c r="C3" t="s">
        <v>15</v>
      </c>
      <c r="D3" t="s">
        <v>16</v>
      </c>
      <c r="E3" t="s">
        <v>17</v>
      </c>
      <c r="F3" t="s">
        <v>24</v>
      </c>
      <c r="G3" t="s">
        <v>18</v>
      </c>
      <c r="H3" t="s">
        <v>19</v>
      </c>
      <c r="I3" t="s">
        <v>6</v>
      </c>
      <c r="J3" t="s">
        <v>25</v>
      </c>
      <c r="K3" t="s">
        <v>20</v>
      </c>
      <c r="L3" t="s">
        <v>21</v>
      </c>
      <c r="M3" t="s">
        <v>22</v>
      </c>
      <c r="N3" t="s">
        <v>23</v>
      </c>
    </row>
    <row r="4" spans="2:14">
      <c r="B4">
        <v>1</v>
      </c>
      <c r="C4" t="s">
        <v>42</v>
      </c>
      <c r="D4">
        <v>395.55</v>
      </c>
      <c r="E4">
        <v>103.27</v>
      </c>
      <c r="F4">
        <f>E4*D4</f>
        <v>40848.448499999999</v>
      </c>
      <c r="G4">
        <v>5334.96</v>
      </c>
      <c r="H4">
        <v>1031.07</v>
      </c>
      <c r="I4">
        <f>G4-H4</f>
        <v>4303.8900000000003</v>
      </c>
      <c r="J4">
        <f>F4+G4-H4</f>
        <v>45152.338499999998</v>
      </c>
      <c r="K4">
        <v>31649.46</v>
      </c>
      <c r="L4">
        <v>1128.5</v>
      </c>
      <c r="M4">
        <v>1728.24</v>
      </c>
      <c r="N4">
        <v>4.3099999999999996</v>
      </c>
    </row>
    <row r="5" spans="2:14">
      <c r="B5">
        <v>2</v>
      </c>
      <c r="C5" t="s">
        <v>43</v>
      </c>
      <c r="D5">
        <v>3695.2</v>
      </c>
      <c r="E5">
        <v>3.11</v>
      </c>
      <c r="F5">
        <f t="shared" ref="F5:F13" si="0">E5*D5</f>
        <v>11492.071999999998</v>
      </c>
      <c r="G5">
        <v>1124.3499999999999</v>
      </c>
      <c r="H5">
        <v>241.79</v>
      </c>
      <c r="I5">
        <f t="shared" ref="I5:I13" si="1">G5-H5</f>
        <v>882.56</v>
      </c>
      <c r="J5">
        <f t="shared" ref="J5:J13" si="2">F5+G5-H5</f>
        <v>12374.631999999998</v>
      </c>
      <c r="K5">
        <v>7055.32</v>
      </c>
      <c r="L5">
        <v>240.4</v>
      </c>
      <c r="M5">
        <v>224.68</v>
      </c>
      <c r="N5">
        <v>3.12</v>
      </c>
    </row>
    <row r="6" spans="2:14">
      <c r="B6">
        <v>3</v>
      </c>
      <c r="C6" t="s">
        <v>44</v>
      </c>
      <c r="D6">
        <v>540.15</v>
      </c>
      <c r="E6">
        <v>13.57</v>
      </c>
      <c r="F6">
        <f t="shared" si="0"/>
        <v>7329.8355000000001</v>
      </c>
      <c r="G6">
        <v>1291.1300000000001</v>
      </c>
      <c r="H6">
        <v>528.69000000000005</v>
      </c>
      <c r="I6">
        <f t="shared" si="1"/>
        <v>762.44</v>
      </c>
      <c r="J6">
        <f t="shared" si="2"/>
        <v>8092.2754999999997</v>
      </c>
      <c r="K6">
        <v>8783.01</v>
      </c>
      <c r="L6">
        <v>381.55</v>
      </c>
      <c r="M6">
        <v>371.93</v>
      </c>
      <c r="N6">
        <v>7.49</v>
      </c>
    </row>
    <row r="7" spans="2:14">
      <c r="B7">
        <v>4</v>
      </c>
      <c r="C7" t="s">
        <v>45</v>
      </c>
      <c r="D7">
        <v>9.0399999999999991</v>
      </c>
      <c r="E7">
        <v>801.68</v>
      </c>
      <c r="F7">
        <f t="shared" si="0"/>
        <v>7247.1871999999985</v>
      </c>
      <c r="G7">
        <v>1594.49</v>
      </c>
      <c r="H7">
        <v>63.78</v>
      </c>
      <c r="I7">
        <f t="shared" si="1"/>
        <v>1530.71</v>
      </c>
      <c r="J7">
        <f t="shared" si="2"/>
        <v>8777.8971999999976</v>
      </c>
      <c r="K7">
        <v>3124.56</v>
      </c>
      <c r="L7">
        <v>656.35</v>
      </c>
      <c r="M7">
        <v>523.35</v>
      </c>
      <c r="N7">
        <v>9.3000000000000007</v>
      </c>
    </row>
    <row r="8" spans="2:14">
      <c r="B8">
        <v>5</v>
      </c>
      <c r="C8" t="s">
        <v>46</v>
      </c>
      <c r="D8">
        <v>457.15</v>
      </c>
      <c r="E8">
        <v>15.18</v>
      </c>
      <c r="F8">
        <f t="shared" si="0"/>
        <v>6939.5369999999994</v>
      </c>
      <c r="G8">
        <v>1889.28</v>
      </c>
      <c r="H8">
        <v>177.18</v>
      </c>
      <c r="I8">
        <f t="shared" si="1"/>
        <v>1712.1</v>
      </c>
      <c r="J8">
        <f t="shared" si="2"/>
        <v>8651.6369999999988</v>
      </c>
      <c r="K8">
        <v>2214.87</v>
      </c>
      <c r="L8">
        <v>-59.08</v>
      </c>
      <c r="M8">
        <v>134.4</v>
      </c>
      <c r="N8">
        <v>1.86</v>
      </c>
    </row>
    <row r="9" spans="2:14">
      <c r="B9">
        <v>6</v>
      </c>
      <c r="C9" t="s">
        <v>41</v>
      </c>
      <c r="D9">
        <v>4244.6000000000004</v>
      </c>
      <c r="E9">
        <v>88.78</v>
      </c>
      <c r="F9">
        <f t="shared" si="0"/>
        <v>376835.58800000005</v>
      </c>
      <c r="G9">
        <v>12465</v>
      </c>
      <c r="H9">
        <v>1584</v>
      </c>
      <c r="I9">
        <f>G9-H9</f>
        <v>10881</v>
      </c>
      <c r="J9">
        <f t="shared" si="2"/>
        <v>387716.58800000005</v>
      </c>
      <c r="K9">
        <v>75580</v>
      </c>
      <c r="L9">
        <v>4766</v>
      </c>
      <c r="M9">
        <v>6180</v>
      </c>
      <c r="N9">
        <v>1.98</v>
      </c>
    </row>
    <row r="10" spans="2:14">
      <c r="B10">
        <v>7</v>
      </c>
      <c r="C10" t="s">
        <v>47</v>
      </c>
      <c r="D10">
        <v>2271.6999999999998</v>
      </c>
      <c r="E10">
        <v>2.68</v>
      </c>
      <c r="F10">
        <f t="shared" si="0"/>
        <v>6088.1559999999999</v>
      </c>
      <c r="G10">
        <v>313.83999999999997</v>
      </c>
      <c r="H10">
        <v>220.02</v>
      </c>
      <c r="I10">
        <f t="shared" si="1"/>
        <v>93.819999999999965</v>
      </c>
      <c r="J10">
        <f t="shared" si="2"/>
        <v>6181.9759999999997</v>
      </c>
      <c r="K10">
        <v>1509.55</v>
      </c>
      <c r="L10">
        <v>96.13</v>
      </c>
      <c r="M10">
        <v>221.09</v>
      </c>
      <c r="N10">
        <v>2.8</v>
      </c>
    </row>
    <row r="11" spans="2:14">
      <c r="B11">
        <v>8</v>
      </c>
      <c r="C11" t="s">
        <v>48</v>
      </c>
      <c r="D11">
        <v>338.85</v>
      </c>
      <c r="E11">
        <v>15.49</v>
      </c>
      <c r="F11">
        <f t="shared" si="0"/>
        <v>5248.7865000000002</v>
      </c>
      <c r="G11">
        <v>813.72</v>
      </c>
      <c r="H11">
        <v>175.13</v>
      </c>
      <c r="I11">
        <f t="shared" si="1"/>
        <v>638.59</v>
      </c>
      <c r="J11">
        <f t="shared" si="2"/>
        <v>5887.3765000000003</v>
      </c>
      <c r="K11">
        <v>5441.55</v>
      </c>
      <c r="L11">
        <v>229.29</v>
      </c>
      <c r="M11">
        <v>211.03</v>
      </c>
      <c r="N11">
        <v>6.33</v>
      </c>
    </row>
    <row r="12" spans="2:14">
      <c r="B12">
        <v>9</v>
      </c>
      <c r="C12" t="s">
        <v>49</v>
      </c>
      <c r="D12">
        <v>301.8</v>
      </c>
      <c r="E12">
        <v>16.37</v>
      </c>
      <c r="F12">
        <f t="shared" si="0"/>
        <v>4940.4660000000003</v>
      </c>
      <c r="G12">
        <v>2407.77</v>
      </c>
      <c r="H12">
        <v>583.97</v>
      </c>
      <c r="I12">
        <f t="shared" si="1"/>
        <v>1823.8</v>
      </c>
      <c r="J12">
        <f t="shared" si="2"/>
        <v>6764.2660000000005</v>
      </c>
      <c r="K12">
        <v>7773.13</v>
      </c>
      <c r="L12">
        <v>485.09</v>
      </c>
      <c r="M12">
        <v>438.04</v>
      </c>
      <c r="N12">
        <v>12.2</v>
      </c>
    </row>
    <row r="13" spans="2:14">
      <c r="B13">
        <v>10</v>
      </c>
      <c r="C13" t="s">
        <v>50</v>
      </c>
      <c r="D13">
        <v>323.05</v>
      </c>
      <c r="E13">
        <v>11.29</v>
      </c>
      <c r="F13">
        <f t="shared" si="0"/>
        <v>3647.2345</v>
      </c>
      <c r="G13">
        <v>24.19</v>
      </c>
      <c r="H13">
        <v>182.03</v>
      </c>
      <c r="I13">
        <f t="shared" si="1"/>
        <v>-157.84</v>
      </c>
      <c r="J13">
        <f t="shared" si="2"/>
        <v>3489.3944999999999</v>
      </c>
      <c r="K13">
        <v>940.82</v>
      </c>
      <c r="L13">
        <v>156.54</v>
      </c>
      <c r="M13">
        <v>179.96</v>
      </c>
      <c r="N13">
        <v>6.5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Comps Val</vt:lpstr>
      <vt:lpstr>Data</vt:lpstr>
      <vt:lpstr>'Comps Val'!Print_Area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</dc:creator>
  <cp:lastModifiedBy>UTKARSH</cp:lastModifiedBy>
  <cp:lastPrinted>2026-03-07T22:57:33Z</cp:lastPrinted>
  <dcterms:created xsi:type="dcterms:W3CDTF">2026-03-07T19:33:12Z</dcterms:created>
  <dcterms:modified xsi:type="dcterms:W3CDTF">2026-03-07T22:59:47Z</dcterms:modified>
</cp:coreProperties>
</file>